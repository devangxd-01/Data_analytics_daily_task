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y 2\"/>
    </mc:Choice>
  </mc:AlternateContent>
  <xr:revisionPtr revIDLastSave="0" documentId="13_ncr:1_{D4D564B8-0D48-410E-ABBA-11B07750B2B3}" xr6:coauthVersionLast="47" xr6:coauthVersionMax="47" xr10:uidLastSave="{00000000-0000-0000-0000-000000000000}"/>
  <bookViews>
    <workbookView xWindow="-110" yWindow="-110" windowWidth="19420" windowHeight="11020" xr2:uid="{71DA1519-58D3-43AB-87BA-F9430D285742}"/>
  </bookViews>
  <sheets>
    <sheet name="day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  <c r="G15" i="1"/>
  <c r="G11" i="1"/>
  <c r="S9" i="1"/>
  <c r="R9" i="1"/>
  <c r="Q9" i="1"/>
  <c r="P9" i="1"/>
  <c r="O9" i="1"/>
  <c r="N9" i="1"/>
  <c r="M9" i="1"/>
  <c r="L9" i="1"/>
  <c r="I9" i="1"/>
  <c r="J9" i="1" s="1"/>
  <c r="S8" i="1"/>
  <c r="R8" i="1"/>
  <c r="Q8" i="1"/>
  <c r="P8" i="1"/>
  <c r="O8" i="1"/>
  <c r="N8" i="1"/>
  <c r="M8" i="1"/>
  <c r="L8" i="1"/>
  <c r="I8" i="1"/>
  <c r="K8" i="1" s="1"/>
  <c r="S7" i="1"/>
  <c r="R7" i="1"/>
  <c r="Q7" i="1"/>
  <c r="P7" i="1"/>
  <c r="O7" i="1"/>
  <c r="N7" i="1"/>
  <c r="M7" i="1"/>
  <c r="L7" i="1"/>
  <c r="I7" i="1"/>
  <c r="K7" i="1" s="1"/>
  <c r="S6" i="1"/>
  <c r="R6" i="1"/>
  <c r="Q6" i="1"/>
  <c r="P6" i="1"/>
  <c r="O6" i="1"/>
  <c r="N6" i="1"/>
  <c r="M6" i="1"/>
  <c r="L6" i="1"/>
  <c r="I6" i="1"/>
  <c r="K6" i="1" s="1"/>
  <c r="S5" i="1"/>
  <c r="R5" i="1"/>
  <c r="Q5" i="1"/>
  <c r="P5" i="1"/>
  <c r="O5" i="1"/>
  <c r="N5" i="1"/>
  <c r="M5" i="1"/>
  <c r="L5" i="1"/>
  <c r="G13" i="1" s="1"/>
  <c r="I5" i="1"/>
  <c r="K5" i="1" s="1"/>
  <c r="J5" i="1" l="1"/>
  <c r="J8" i="1"/>
  <c r="K9" i="1"/>
  <c r="J7" i="1"/>
  <c r="J6" i="1"/>
</calcChain>
</file>

<file path=xl/sharedStrings.xml><?xml version="1.0" encoding="utf-8"?>
<sst xmlns="http://schemas.openxmlformats.org/spreadsheetml/2006/main" count="35" uniqueCount="33">
  <si>
    <t>Day 10</t>
  </si>
  <si>
    <t>Substitute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</si>
  <si>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</si>
  <si>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</si>
  <si>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</si>
  <si>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</si>
  <si>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</si>
  <si>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</si>
  <si>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</si>
  <si>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</si>
  <si>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</si>
  <si>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</si>
  <si>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</si>
  <si>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</si>
  <si>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</si>
  <si>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Length of first name</t>
  </si>
  <si>
    <t>Capatilize first letter of first name</t>
  </si>
  <si>
    <t>Capatilize all letters of first name</t>
  </si>
  <si>
    <t>Remove special char</t>
  </si>
  <si>
    <t>Remove space</t>
  </si>
  <si>
    <t>overwrite(u-&gt;i)</t>
  </si>
  <si>
    <t>Saxena</t>
  </si>
  <si>
    <t>Total Subject</t>
  </si>
  <si>
    <t>No. of Pass Student</t>
  </si>
  <si>
    <t>Find Marks of Sanskriti in English</t>
  </si>
  <si>
    <t>No. of Fail Student</t>
  </si>
  <si>
    <t>Kamil</t>
  </si>
  <si>
    <t>Arpit</t>
  </si>
  <si>
    <t>Abhitendra</t>
  </si>
  <si>
    <t>Suryansh</t>
  </si>
  <si>
    <t>Pandey</t>
  </si>
  <si>
    <t>Kostubh</t>
  </si>
  <si>
    <t>Bajpai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</si>
</sst>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8"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74456-8FF5-40D2-8516-96AD9ECB7F38}" name="Table134681011" displayName="Table134681011" ref="A4:S9" totalsRowShown="0" headerRowDxfId="17">
  <autoFilter ref="A4:S9" xr:uid="{63C74456-8FF5-40D2-8516-96AD9ECB7F38}"/>
  <tableColumns count="19">
    <tableColumn id="1" xr3:uid="{1DEB1740-0D25-43D8-8793-7A30492C732F}" name="Student ID" dataDxfId="16"/>
    <tableColumn id="2" xr3:uid="{C966045F-E435-4DA0-9959-C8F0E3BA8797}" name="First Name"/>
    <tableColumn id="3" xr3:uid="{5BA46C6B-CD74-4B18-8627-0D93089CF7E1}" name="Last Name"/>
    <tableColumn id="4" xr3:uid="{A74FC953-A933-4373-8212-4BE8040A715B}" name="Mathematics" dataDxfId="15"/>
    <tableColumn id="5" xr3:uid="{7C6E99EE-2BD9-4B30-BD38-4F2D1ECD1D38}" name="Science" dataDxfId="14"/>
    <tableColumn id="6" xr3:uid="{161CCA35-44BD-4DA0-A0DF-61B52EA67CC0}" name="English" dataDxfId="13"/>
    <tableColumn id="7" xr3:uid="{7DAFE58B-EF5D-4B79-9F7C-9037BC2DE18A}" name="Computer" dataDxfId="12"/>
    <tableColumn id="8" xr3:uid="{7AE56739-988F-45BB-AED5-347814FC037A}" name="Social Science" dataDxfId="11"/>
    <tableColumn id="9" xr3:uid="{464B3F78-07DD-428D-BA31-583945A96DA5}" name="Total">
      <calculatedColumnFormula>SUM(D5:H5)</calculatedColumnFormula>
    </tableColumn>
    <tableColumn id="10" xr3:uid="{9123E08C-1670-4749-89AD-3F9D229E7DAE}" name="Average">
      <calculatedColumnFormula>I5/5</calculatedColumnFormula>
    </tableColumn>
    <tableColumn id="11" xr3:uid="{BF6EF8EE-76D1-4079-8730-080407483920}" name="Percentage">
      <calculatedColumnFormula>(I5/500) *100</calculatedColumnFormula>
    </tableColumn>
    <tableColumn id="12" xr3:uid="{DBDCAEDA-D3A6-473F-B42D-839638F8E5DF}" name="Is_Fail" dataDxfId="10">
      <calculatedColumnFormula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calculatedColumnFormula>
    </tableColumn>
    <tableColumn id="13" xr3:uid="{7514950C-ADC3-4322-8C42-838B8EE85299}" name="Marks Given in No of Sub" dataDxfId="9">
      <calculatedColumnFormula>COUNTA(Table134681011[[#This Row],[Mathematics]]:Table134681011[[#This Row],[Social Science]])</calculatedColumnFormula>
    </tableColumn>
    <tableColumn id="14" xr3:uid="{80C6626D-F505-496E-ACDD-625B9E44E6E1}" name="Length of first name" dataDxfId="8">
      <calculatedColumnFormula>LEN(Table134681011[[#This Row],[First Name]])</calculatedColumnFormula>
    </tableColumn>
    <tableColumn id="15" xr3:uid="{8626ACC5-E2CD-4D5E-A857-CB8373511838}" name="Capatilize first letter of first name" dataDxfId="7">
      <calculatedColumnFormula>PROPER(Table134681011[[#This Row],[First Name]])</calculatedColumnFormula>
    </tableColumn>
    <tableColumn id="16" xr3:uid="{2BFDB11A-9D54-4190-9C88-D10B9FB7106D}" name="Capatilize all letters of first name" dataDxfId="6">
      <calculatedColumnFormula>UPPER(Table134681011[[#This Row],[First Name]])</calculatedColumnFormula>
    </tableColumn>
    <tableColumn id="17" xr3:uid="{C28A1D8C-79A1-47BD-A4FA-6D8085661D23}" name="Remove special char" dataDxfId="5">
      <calculatedColumnFormula>SUBSTITUTE(Table134681011[[#This Row],[First Name]],"@","")</calculatedColumnFormula>
    </tableColumn>
    <tableColumn id="18" xr3:uid="{F3E057AE-BF0D-4E5B-AEB5-D9EB8D985B05}" name="Remove space" dataDxfId="4">
      <calculatedColumnFormula>TRIM(Table134681011[[#This Row],[First Name]])</calculatedColumnFormula>
    </tableColumn>
    <tableColumn id="19" xr3:uid="{D1A21D11-5431-4462-9EF4-CD34BEB6F200}" name="overwrite(u-&gt;i)" dataDxfId="3">
      <calculatedColumnFormula>SUBSTITUTE(Table134681011[[#This Row],[First Name]],"u","i")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2917-81CC-43DD-9249-7F35758A165C}">
  <dimension ref="A1:S17"/>
  <sheetViews>
    <sheetView tabSelected="1" zoomScale="85" workbookViewId="0">
      <selection activeCell="B5" sqref="B5:C9"/>
    </sheetView>
  </sheetViews>
  <sheetFormatPr defaultRowHeight="14.5" x14ac:dyDescent="0.35"/>
  <cols>
    <col min="1" max="1" width="12.08984375" bestFit="1" customWidth="1"/>
    <col min="2" max="3" width="10.453125" bestFit="1" customWidth="1"/>
    <col min="4" max="4" width="8.1796875" bestFit="1" customWidth="1"/>
    <col min="5" max="5" width="7.36328125" bestFit="1" customWidth="1"/>
    <col min="6" max="6" width="28.81640625" bestFit="1" customWidth="1"/>
    <col min="7" max="7" width="8.81640625" bestFit="1" customWidth="1"/>
    <col min="8" max="8" width="7.36328125" bestFit="1" customWidth="1"/>
    <col min="9" max="9" width="5.1796875" bestFit="1" customWidth="1"/>
    <col min="10" max="10" width="7.90625" bestFit="1" customWidth="1"/>
    <col min="11" max="11" width="8.453125" bestFit="1" customWidth="1"/>
    <col min="12" max="12" width="6.08984375" bestFit="1" customWidth="1"/>
    <col min="13" max="13" width="7.81640625" bestFit="1" customWidth="1"/>
    <col min="14" max="14" width="6.81640625" bestFit="1" customWidth="1"/>
    <col min="15" max="15" width="9.08984375" bestFit="1" customWidth="1"/>
    <col min="16" max="16" width="10.81640625" bestFit="1" customWidth="1"/>
    <col min="17" max="17" width="9.08984375" bestFit="1" customWidth="1"/>
    <col min="18" max="18" width="7.90625" bestFit="1" customWidth="1"/>
    <col min="19" max="19" width="9.08984375" bestFit="1" customWidth="1"/>
  </cols>
  <sheetData>
    <row r="1" spans="1:19" x14ac:dyDescent="0.35">
      <c r="A1" s="1"/>
      <c r="B1" s="1"/>
      <c r="C1" s="1"/>
      <c r="D1" s="1"/>
      <c r="E1" s="1"/>
      <c r="F1" s="2"/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4" spans="1:19" ht="72.5" x14ac:dyDescent="0.35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spans="1:19" x14ac:dyDescent="0.35">
      <c r="A5" s="5">
        <v>1</v>
      </c>
      <c r="B5" s="9" t="s">
        <v>26</v>
      </c>
      <c r="C5" s="10" t="s">
        <v>21</v>
      </c>
      <c r="D5" s="6">
        <v>85</v>
      </c>
      <c r="E5" s="6">
        <v>91</v>
      </c>
      <c r="F5" s="6">
        <v>88</v>
      </c>
      <c r="G5" s="6">
        <v>95</v>
      </c>
      <c r="H5" s="6">
        <v>82</v>
      </c>
      <c r="I5">
        <f>SUM(D5:H5)</f>
        <v>441</v>
      </c>
      <c r="J5">
        <f>I5/5</f>
        <v>88.2</v>
      </c>
      <c r="K5">
        <f>(I5/500) *100</f>
        <v>88.2</v>
      </c>
      <c r="L5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5">
        <f>COUNTA(Table134681011[[#This Row],[Mathematics]]:Table134681011[[#This Row],[Social Science]])</f>
        <v>5</v>
      </c>
      <c r="N5">
        <f>LEN(Table134681011[[#This Row],[First Name]])</f>
        <v>5</v>
      </c>
      <c r="O5" t="str">
        <f>PROPER(Table134681011[[#This Row],[First Name]])</f>
        <v>Kamil</v>
      </c>
      <c r="P5" t="str">
        <f>UPPER(Table134681011[[#This Row],[First Name]])</f>
        <v>KAMIL</v>
      </c>
      <c r="Q5" t="str">
        <f>SUBSTITUTE(Table134681011[[#This Row],[First Name]],"@","")</f>
        <v>Kamil</v>
      </c>
      <c r="R5" t="str">
        <f>TRIM(Table134681011[[#This Row],[First Name]])</f>
        <v>Kamil</v>
      </c>
      <c r="S5" t="str">
        <f>SUBSTITUTE(Table134681011[[#This Row],[First Name]],"u","i")</f>
        <v>Kamil</v>
      </c>
    </row>
    <row r="6" spans="1:19" x14ac:dyDescent="0.35">
      <c r="A6" s="5">
        <v>2</v>
      </c>
      <c r="B6" s="9" t="s">
        <v>27</v>
      </c>
      <c r="C6" s="10" t="s">
        <v>21</v>
      </c>
      <c r="D6" s="6">
        <v>78</v>
      </c>
      <c r="E6" s="6">
        <v>84</v>
      </c>
      <c r="F6" s="6">
        <v>90</v>
      </c>
      <c r="G6" s="6">
        <v>88</v>
      </c>
      <c r="H6" s="6">
        <v>76</v>
      </c>
      <c r="I6">
        <f t="shared" ref="I6:I9" si="0">SUM(D6:H6)</f>
        <v>416</v>
      </c>
      <c r="J6">
        <f t="shared" ref="J6:J9" si="1">I6/5</f>
        <v>83.2</v>
      </c>
      <c r="K6">
        <f t="shared" ref="K6:K9" si="2">(I6/500) *100</f>
        <v>83.2</v>
      </c>
      <c r="L6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6">
        <f>COUNTA(Table134681011[[#This Row],[Mathematics]]:Table134681011[[#This Row],[Social Science]])</f>
        <v>5</v>
      </c>
      <c r="N6">
        <f>LEN(Table134681011[[#This Row],[First Name]])</f>
        <v>5</v>
      </c>
      <c r="O6" t="str">
        <f>PROPER(Table134681011[[#This Row],[First Name]])</f>
        <v>Arpit</v>
      </c>
      <c r="P6" t="str">
        <f>UPPER(Table134681011[[#This Row],[First Name]])</f>
        <v>ARPIT</v>
      </c>
      <c r="Q6" t="str">
        <f>SUBSTITUTE(Table134681011[[#This Row],[First Name]],"@","")</f>
        <v>Arpit</v>
      </c>
      <c r="R6" t="str">
        <f>TRIM(Table134681011[[#This Row],[First Name]])</f>
        <v>Arpit</v>
      </c>
      <c r="S6" t="str">
        <f>SUBSTITUTE(Table134681011[[#This Row],[First Name]],"u","i")</f>
        <v>Arpit</v>
      </c>
    </row>
    <row r="7" spans="1:19" x14ac:dyDescent="0.35">
      <c r="A7" s="5">
        <v>3</v>
      </c>
      <c r="B7" s="9" t="s">
        <v>28</v>
      </c>
      <c r="C7" s="10" t="s">
        <v>21</v>
      </c>
      <c r="D7" s="6">
        <v>92</v>
      </c>
      <c r="E7" s="6">
        <v>89</v>
      </c>
      <c r="F7" s="6">
        <v>85</v>
      </c>
      <c r="G7" s="6">
        <v>94</v>
      </c>
      <c r="H7" s="6">
        <v>90</v>
      </c>
      <c r="I7">
        <f t="shared" si="0"/>
        <v>450</v>
      </c>
      <c r="J7">
        <f t="shared" si="1"/>
        <v>90</v>
      </c>
      <c r="K7">
        <f t="shared" si="2"/>
        <v>90</v>
      </c>
      <c r="L7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7">
        <f>COUNTA(Table134681011[[#This Row],[Mathematics]]:Table134681011[[#This Row],[Social Science]])</f>
        <v>5</v>
      </c>
      <c r="N7">
        <f>LEN(Table134681011[[#This Row],[First Name]])</f>
        <v>10</v>
      </c>
      <c r="O7" t="str">
        <f>PROPER(Table134681011[[#This Row],[First Name]])</f>
        <v>Abhitendra</v>
      </c>
      <c r="P7" t="str">
        <f>UPPER(Table134681011[[#This Row],[First Name]])</f>
        <v>ABHITENDRA</v>
      </c>
      <c r="Q7" t="str">
        <f>SUBSTITUTE(Table134681011[[#This Row],[First Name]],"@","")</f>
        <v>Abhitendra</v>
      </c>
      <c r="R7" t="str">
        <f>TRIM(Table134681011[[#This Row],[First Name]])</f>
        <v>Abhitendra</v>
      </c>
      <c r="S7" t="str">
        <f>SUBSTITUTE(Table134681011[[#This Row],[First Name]],"u","i")</f>
        <v>Abhitendra</v>
      </c>
    </row>
    <row r="8" spans="1:19" x14ac:dyDescent="0.35">
      <c r="A8" s="5">
        <v>4</v>
      </c>
      <c r="B8" s="9" t="s">
        <v>29</v>
      </c>
      <c r="C8" s="10" t="s">
        <v>30</v>
      </c>
      <c r="D8" s="6">
        <v>74</v>
      </c>
      <c r="E8" s="6"/>
      <c r="F8" s="6">
        <v>79</v>
      </c>
      <c r="G8" s="6">
        <v>86</v>
      </c>
      <c r="H8" s="6">
        <v>83</v>
      </c>
      <c r="I8">
        <f t="shared" si="0"/>
        <v>322</v>
      </c>
      <c r="J8">
        <f t="shared" si="1"/>
        <v>64.400000000000006</v>
      </c>
      <c r="K8">
        <f t="shared" si="2"/>
        <v>64.400000000000006</v>
      </c>
      <c r="L8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8">
        <f>COUNTA(Table134681011[[#This Row],[Mathematics]]:Table134681011[[#This Row],[Social Science]])</f>
        <v>4</v>
      </c>
      <c r="N8">
        <f>LEN(Table134681011[[#This Row],[First Name]])</f>
        <v>8</v>
      </c>
      <c r="O8" t="str">
        <f>PROPER(Table134681011[[#This Row],[First Name]])</f>
        <v>Suryansh</v>
      </c>
      <c r="P8" t="str">
        <f>UPPER(Table134681011[[#This Row],[First Name]])</f>
        <v>SURYANSH</v>
      </c>
      <c r="Q8" t="str">
        <f>SUBSTITUTE(Table134681011[[#This Row],[First Name]],"@","")</f>
        <v>Suryansh</v>
      </c>
      <c r="R8" t="str">
        <f>TRIM(Table134681011[[#This Row],[First Name]])</f>
        <v>Suryansh</v>
      </c>
      <c r="S8" t="str">
        <f>SUBSTITUTE(Table134681011[[#This Row],[First Name]],"u","i")</f>
        <v>Siryansh</v>
      </c>
    </row>
    <row r="9" spans="1:19" x14ac:dyDescent="0.35">
      <c r="A9" s="5">
        <v>5</v>
      </c>
      <c r="B9" s="9" t="s">
        <v>31</v>
      </c>
      <c r="C9" s="10" t="s">
        <v>32</v>
      </c>
      <c r="D9" s="6">
        <v>88</v>
      </c>
      <c r="E9" s="6">
        <v>93</v>
      </c>
      <c r="F9" s="6">
        <v>1</v>
      </c>
      <c r="G9" s="6">
        <v>89</v>
      </c>
      <c r="H9" s="6">
        <v>87</v>
      </c>
      <c r="I9">
        <f t="shared" si="0"/>
        <v>358</v>
      </c>
      <c r="J9">
        <f t="shared" si="1"/>
        <v>71.599999999999994</v>
      </c>
      <c r="K9">
        <f t="shared" si="2"/>
        <v>71.599999999999994</v>
      </c>
      <c r="L9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Fail</v>
      </c>
      <c r="M9">
        <f>COUNTA(Table134681011[[#This Row],[Mathematics]]:Table134681011[[#This Row],[Social Science]])</f>
        <v>5</v>
      </c>
      <c r="N9">
        <f>LEN(Table134681011[[#This Row],[First Name]])</f>
        <v>7</v>
      </c>
      <c r="O9" t="str">
        <f>PROPER(Table134681011[[#This Row],[First Name]])</f>
        <v>Kostubh</v>
      </c>
      <c r="P9" t="str">
        <f>UPPER(Table134681011[[#This Row],[First Name]])</f>
        <v>KOSTUBH</v>
      </c>
      <c r="Q9" t="str">
        <f>SUBSTITUTE(Table134681011[[#This Row],[First Name]],"@","")</f>
        <v>Kostubh</v>
      </c>
      <c r="R9" t="str">
        <f>TRIM(Table134681011[[#This Row],[First Name]])</f>
        <v>Kostubh</v>
      </c>
      <c r="S9" t="str">
        <f>SUBSTITUTE(Table134681011[[#This Row],[First Name]],"u","i")</f>
        <v>Kostibh</v>
      </c>
    </row>
    <row r="11" spans="1:19" x14ac:dyDescent="0.35">
      <c r="F11" s="7" t="s">
        <v>22</v>
      </c>
      <c r="G11">
        <f>COUNT(D5:H5)</f>
        <v>5</v>
      </c>
    </row>
    <row r="13" spans="1:19" x14ac:dyDescent="0.35">
      <c r="F13" s="7" t="s">
        <v>23</v>
      </c>
      <c r="G13">
        <f>COUNTIF(Table134681011[Is_Fail],"Pass")</f>
        <v>4</v>
      </c>
    </row>
    <row r="15" spans="1:19" x14ac:dyDescent="0.35">
      <c r="F15" s="7" t="s">
        <v>25</v>
      </c>
      <c r="G15">
        <f>COUNTIF(Table134681011[Is_Fail],"Fail")</f>
        <v>1</v>
      </c>
    </row>
    <row r="17" spans="6:7" x14ac:dyDescent="0.35">
      <c r="F17" s="7" t="s">
        <v>24</v>
      </c>
      <c r="G17">
        <f>VLOOKUP(A5,Table134681011[#All],6,FALSE)</f>
        <v>88</v>
      </c>
    </row>
  </sheetData>
  <mergeCells count="1">
    <mergeCell ref="A2:S2"/>
  </mergeCells>
  <conditionalFormatting sqref="L5:L9">
    <cfRule type="containsText" dxfId="2" priority="1" operator="containsText" text="Pass">
      <formula>NOT(ISERROR(SEARCH("Pass",L5)))</formula>
    </cfRule>
    <cfRule type="containsText" dxfId="1" priority="2" operator="containsText" text="Fail">
      <formula>NOT(ISERROR(SEARCH("Fail",L5)))</formula>
    </cfRule>
    <cfRule type="containsText" dxfId="0" priority="3" operator="containsText" text="Fail">
      <formula>NOT(ISERROR(SEARCH("Fail",L5)))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Divyansh Pandey</cp:lastModifiedBy>
  <dcterms:created xsi:type="dcterms:W3CDTF">2026-09-21T15:50:41Z</dcterms:created>
  <dcterms:modified xsi:type="dcterms:W3CDTF">2026-09-22T05:18:51Z</dcterms:modified>
</cp:coreProperties>
</file>